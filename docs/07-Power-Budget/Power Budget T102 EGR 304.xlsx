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usti\Downloads\"/>
    </mc:Choice>
  </mc:AlternateContent>
  <xr:revisionPtr revIDLastSave="0" documentId="13_ncr:1_{0C0DDEDA-C48C-4A58-8E1A-319F5A70994C}" xr6:coauthVersionLast="47" xr6:coauthVersionMax="47" xr10:uidLastSave="{00000000-0000-0000-0000-000000000000}"/>
  <bookViews>
    <workbookView xWindow="20775" yWindow="-442" windowWidth="21600" windowHeight="11392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1" i="1" l="1"/>
  <c r="G10" i="1"/>
  <c r="G14" i="1"/>
  <c r="G34" i="1"/>
  <c r="G28" i="1"/>
  <c r="G24" i="1"/>
  <c r="G22" i="1"/>
  <c r="G21" i="1"/>
  <c r="G18" i="1"/>
  <c r="G13" i="1"/>
  <c r="G15" i="1" s="1"/>
  <c r="G11" i="1"/>
  <c r="G8" i="1"/>
  <c r="G7" i="1"/>
  <c r="G6" i="1"/>
  <c r="G17" i="1" l="1"/>
  <c r="G19" i="1" s="1"/>
  <c r="G25" i="1"/>
  <c r="G27" i="1" s="1"/>
  <c r="G29" i="1" s="1"/>
  <c r="G36" i="1"/>
</calcChain>
</file>

<file path=xl/sharedStrings.xml><?xml version="1.0" encoding="utf-8"?>
<sst xmlns="http://schemas.openxmlformats.org/spreadsheetml/2006/main" count="94" uniqueCount="51">
  <si>
    <t>Team Number:</t>
  </si>
  <si>
    <t>Project Name:</t>
  </si>
  <si>
    <t>House-hold Irrigaton</t>
  </si>
  <si>
    <t>Team Member Names:</t>
  </si>
  <si>
    <t>Austin Gonzalez, Terry Williams, Jacob Dirks</t>
  </si>
  <si>
    <t xml:space="preserve">Version: </t>
  </si>
  <si>
    <t>All Major Components</t>
  </si>
  <si>
    <t>Component Name</t>
  </si>
  <si>
    <t>Part Number</t>
  </si>
  <si>
    <t>Supply Voltage Range</t>
  </si>
  <si>
    <t>#</t>
  </si>
  <si>
    <t>Absolute Maximum Current (mA)</t>
  </si>
  <si>
    <t>Total Current (mA)</t>
  </si>
  <si>
    <t>Curiosity Nano</t>
  </si>
  <si>
    <t>PIC18F57Q43</t>
  </si>
  <si>
    <t>1.7-5.1V</t>
  </si>
  <si>
    <t>DC Motor (Water Pump)</t>
  </si>
  <si>
    <t>RS-360SH</t>
  </si>
  <si>
    <t>3-12V</t>
  </si>
  <si>
    <t xml:space="preserve">DC Motor (Fertilizer Distrobution) </t>
  </si>
  <si>
    <t>4-6V</t>
  </si>
  <si>
    <t xml:space="preserve">DC Motor (Fertilizer Stiring) </t>
  </si>
  <si>
    <t>(+)9V Rail</t>
  </si>
  <si>
    <t>Subtotal</t>
  </si>
  <si>
    <t>Safety Margin</t>
  </si>
  <si>
    <t>Total Current</t>
  </si>
  <si>
    <t>SOURCE</t>
  </si>
  <si>
    <t>Plug-In Wall Supply</t>
  </si>
  <si>
    <t>B09ZTKTLGW</t>
  </si>
  <si>
    <t>110V AC</t>
  </si>
  <si>
    <t>+9V</t>
  </si>
  <si>
    <t>Total Remaining</t>
  </si>
  <si>
    <t>(+)5V Rail</t>
  </si>
  <si>
    <t>+5V Regulator</t>
  </si>
  <si>
    <t>External Power Source 1</t>
  </si>
  <si>
    <t>Output Voltage</t>
  </si>
  <si>
    <t>Power Source Selection 1</t>
  </si>
  <si>
    <t>Plug-in Wall Supply</t>
  </si>
  <si>
    <t>Power Rails Connected to External Source 1</t>
  </si>
  <si>
    <t>Total left</t>
  </si>
  <si>
    <t>LM1085-5.0</t>
  </si>
  <si>
    <t>6.5-25V</t>
  </si>
  <si>
    <t>AOFT2618L</t>
  </si>
  <si>
    <t>MOSFET</t>
  </si>
  <si>
    <t>0-20V</t>
  </si>
  <si>
    <t>H-Bridge</t>
  </si>
  <si>
    <t>FAN8100N</t>
  </si>
  <si>
    <t>2.2-9V</t>
  </si>
  <si>
    <t>+5V</t>
  </si>
  <si>
    <t>WBEEAB0711Q5B49</t>
  </si>
  <si>
    <t>+12V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</si>
</sst>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name val="Arial"/>
    </font>
    <font>
      <sz val="10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wrapText="1"/>
    </xf>
    <xf numFmtId="0" fontId="2" fillId="0" borderId="1" xfId="0" applyFont="1" applyBorder="1" applyAlignment="1">
      <alignment wrapText="1"/>
    </xf>
    <xf numFmtId="0" fontId="2" fillId="2" borderId="1" xfId="0" applyFont="1" applyFill="1" applyBorder="1" applyAlignment="1">
      <alignment horizontal="center" wrapText="1"/>
    </xf>
    <xf numFmtId="0" fontId="1" fillId="0" borderId="1" xfId="0" applyFont="1" applyBorder="1" applyAlignment="1">
      <alignment wrapText="1"/>
    </xf>
    <xf numFmtId="0" fontId="3" fillId="3" borderId="1" xfId="0" applyFont="1" applyFill="1" applyBorder="1"/>
    <xf numFmtId="0" fontId="1" fillId="0" borderId="1" xfId="0" quotePrefix="1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4" fillId="0" borderId="3" xfId="0" applyFont="1" applyBorder="1"/>
    <xf numFmtId="0" fontId="4" fillId="0" borderId="4" xfId="0" applyFont="1" applyBorder="1"/>
    <xf numFmtId="0" fontId="1" fillId="3" borderId="1" xfId="0" applyFont="1" applyFill="1" applyBorder="1"/>
    <xf numFmtId="0" fontId="5" fillId="0" borderId="1" xfId="0" applyFont="1" applyBorder="1" applyAlignment="1">
      <alignment wrapText="1"/>
    </xf>
    <xf numFmtId="0" fontId="5" fillId="0" borderId="1" xfId="0" quotePrefix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Y977"/>
  <sheetViews>
    <sheetView tabSelected="1" workbookViewId="0">
      <selection activeCell="H32" sqref="H32"/>
    </sheetView>
  </sheetViews>
  <sheetFormatPr defaultColWidth="12.6328125" defaultRowHeight="15.75" customHeight="1" x14ac:dyDescent="0.25"/>
  <cols>
    <col min="1" max="1" width="19.08984375" customWidth="1"/>
    <col min="2" max="2" width="20.36328125" customWidth="1"/>
    <col min="4" max="4" width="11" customWidth="1"/>
    <col min="5" max="5" width="9.26953125" customWidth="1"/>
    <col min="6" max="6" width="12.36328125" customWidth="1"/>
    <col min="7" max="7" width="11.7265625" customWidth="1"/>
  </cols>
  <sheetData>
    <row r="1" spans="1:25" x14ac:dyDescent="0.3">
      <c r="A1" s="2" t="s">
        <v>0</v>
      </c>
      <c r="B1" s="2">
        <v>102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x14ac:dyDescent="0.3">
      <c r="A2" s="2" t="s">
        <v>1</v>
      </c>
      <c r="B2" s="2" t="s">
        <v>2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x14ac:dyDescent="0.3">
      <c r="A3" s="2" t="s">
        <v>3</v>
      </c>
      <c r="B3" s="2" t="s">
        <v>4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x14ac:dyDescent="0.3">
      <c r="A4" s="2" t="s">
        <v>5</v>
      </c>
      <c r="B4" s="2">
        <v>1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x14ac:dyDescent="0.3">
      <c r="A5" s="3" t="s">
        <v>6</v>
      </c>
      <c r="B5" s="3" t="s">
        <v>7</v>
      </c>
      <c r="C5" s="3" t="s">
        <v>8</v>
      </c>
      <c r="D5" s="3" t="s">
        <v>9</v>
      </c>
      <c r="E5" s="3" t="s">
        <v>10</v>
      </c>
      <c r="F5" s="3" t="s">
        <v>11</v>
      </c>
      <c r="G5" s="3" t="s">
        <v>12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15.75" customHeight="1" x14ac:dyDescent="0.25">
      <c r="A6" s="4"/>
      <c r="B6" s="4" t="s">
        <v>13</v>
      </c>
      <c r="C6" s="4" t="s">
        <v>14</v>
      </c>
      <c r="D6" s="4" t="s">
        <v>15</v>
      </c>
      <c r="E6" s="4">
        <v>1</v>
      </c>
      <c r="F6" s="4">
        <v>500</v>
      </c>
      <c r="G6" s="4">
        <f t="shared" ref="G6:G11" si="0">E6*F6</f>
        <v>500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15.75" customHeight="1" x14ac:dyDescent="0.25">
      <c r="A7" s="4"/>
      <c r="B7" s="4" t="s">
        <v>16</v>
      </c>
      <c r="C7" s="4" t="s">
        <v>17</v>
      </c>
      <c r="D7" s="4" t="s">
        <v>18</v>
      </c>
      <c r="E7" s="4">
        <v>1</v>
      </c>
      <c r="F7" s="4">
        <v>1500</v>
      </c>
      <c r="G7" s="4">
        <f t="shared" si="0"/>
        <v>1500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15.75" customHeight="1" x14ac:dyDescent="0.25">
      <c r="A8" s="4"/>
      <c r="B8" s="4" t="s">
        <v>19</v>
      </c>
      <c r="C8" s="5">
        <v>2941</v>
      </c>
      <c r="D8" s="4" t="s">
        <v>20</v>
      </c>
      <c r="E8" s="4">
        <v>1</v>
      </c>
      <c r="F8" s="4">
        <v>550</v>
      </c>
      <c r="G8" s="4">
        <f t="shared" si="0"/>
        <v>550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15.75" customHeight="1" x14ac:dyDescent="0.25">
      <c r="A9" s="4"/>
      <c r="B9" s="4" t="s">
        <v>45</v>
      </c>
      <c r="C9" s="10" t="s">
        <v>46</v>
      </c>
      <c r="D9" s="4" t="s">
        <v>47</v>
      </c>
      <c r="E9" s="4">
        <v>1</v>
      </c>
      <c r="F9" s="4">
        <v>105</v>
      </c>
      <c r="G9" s="4">
        <v>105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15.75" customHeight="1" x14ac:dyDescent="0.25">
      <c r="A10" s="4"/>
      <c r="B10" s="4" t="s">
        <v>43</v>
      </c>
      <c r="C10" s="4" t="s">
        <v>42</v>
      </c>
      <c r="D10" s="4" t="s">
        <v>44</v>
      </c>
      <c r="E10" s="4">
        <v>1</v>
      </c>
      <c r="F10" s="4">
        <v>50</v>
      </c>
      <c r="G10" s="4">
        <f>E10*F10</f>
        <v>50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24" customHeight="1" x14ac:dyDescent="0.25">
      <c r="A11" s="4"/>
      <c r="B11" s="4" t="s">
        <v>21</v>
      </c>
      <c r="C11" s="5">
        <v>2941</v>
      </c>
      <c r="D11" s="4" t="s">
        <v>20</v>
      </c>
      <c r="E11" s="4">
        <v>1</v>
      </c>
      <c r="F11" s="4">
        <v>550</v>
      </c>
      <c r="G11" s="4">
        <f t="shared" si="0"/>
        <v>550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47.5" customHeight="1" x14ac:dyDescent="0.3">
      <c r="A12" s="3" t="s">
        <v>22</v>
      </c>
      <c r="B12" s="3" t="s">
        <v>7</v>
      </c>
      <c r="C12" s="3" t="s">
        <v>8</v>
      </c>
      <c r="D12" s="3" t="s">
        <v>9</v>
      </c>
      <c r="E12" s="3" t="s">
        <v>10</v>
      </c>
      <c r="F12" s="3" t="s">
        <v>11</v>
      </c>
      <c r="G12" s="3" t="s">
        <v>12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15.75" customHeight="1" x14ac:dyDescent="0.25">
      <c r="A13" s="4"/>
      <c r="B13" s="4" t="s">
        <v>16</v>
      </c>
      <c r="C13" s="4" t="s">
        <v>17</v>
      </c>
      <c r="D13" s="4" t="s">
        <v>18</v>
      </c>
      <c r="E13" s="4">
        <v>1</v>
      </c>
      <c r="F13" s="4">
        <v>1500</v>
      </c>
      <c r="G13" s="4">
        <f>E13*F13</f>
        <v>1500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ht="15.75" customHeight="1" x14ac:dyDescent="0.25">
      <c r="A14" s="4"/>
      <c r="B14" s="4" t="s">
        <v>43</v>
      </c>
      <c r="C14" s="4" t="s">
        <v>42</v>
      </c>
      <c r="D14" s="4" t="s">
        <v>44</v>
      </c>
      <c r="E14" s="4">
        <v>1</v>
      </c>
      <c r="F14" s="4">
        <v>50</v>
      </c>
      <c r="G14" s="4">
        <f>E14*F14</f>
        <v>50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13" x14ac:dyDescent="0.3">
      <c r="A15" s="4"/>
      <c r="E15" s="4">
        <v>1</v>
      </c>
      <c r="F15" s="2" t="s">
        <v>23</v>
      </c>
      <c r="G15" s="4">
        <f>SUM(G13+G14)</f>
        <v>1550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x14ac:dyDescent="0.3">
      <c r="A16" s="4"/>
      <c r="B16" s="4"/>
      <c r="C16" s="4"/>
      <c r="D16" s="4"/>
      <c r="E16" s="4"/>
      <c r="F16" s="2" t="s">
        <v>24</v>
      </c>
      <c r="G16" s="4">
        <v>0.25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x14ac:dyDescent="0.3">
      <c r="A17" s="4"/>
      <c r="B17" s="4"/>
      <c r="C17" s="4"/>
      <c r="D17" s="4"/>
      <c r="E17" s="4"/>
      <c r="F17" s="2" t="s">
        <v>25</v>
      </c>
      <c r="G17" s="4">
        <f>G15*(1+G16)</f>
        <v>1937.5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ht="25.5" x14ac:dyDescent="0.3">
      <c r="A18" s="2" t="s">
        <v>26</v>
      </c>
      <c r="B18" s="4" t="s">
        <v>27</v>
      </c>
      <c r="C18" s="11" t="s">
        <v>49</v>
      </c>
      <c r="D18" s="4" t="s">
        <v>29</v>
      </c>
      <c r="E18" s="12" t="s">
        <v>50</v>
      </c>
      <c r="F18" s="4">
        <v>5000</v>
      </c>
      <c r="G18" s="4">
        <f>F18</f>
        <v>5000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x14ac:dyDescent="0.3">
      <c r="A19" s="4"/>
      <c r="B19" s="4"/>
      <c r="C19" s="4"/>
      <c r="D19" s="4"/>
      <c r="E19" s="4"/>
      <c r="F19" s="2" t="s">
        <v>31</v>
      </c>
      <c r="G19" s="4">
        <f>G18-G17</f>
        <v>3062.5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ht="43" customHeight="1" x14ac:dyDescent="0.3">
      <c r="A20" s="3" t="s">
        <v>32</v>
      </c>
      <c r="B20" s="3" t="s">
        <v>7</v>
      </c>
      <c r="C20" s="3" t="s">
        <v>8</v>
      </c>
      <c r="D20" s="3" t="s">
        <v>9</v>
      </c>
      <c r="E20" s="3" t="s">
        <v>10</v>
      </c>
      <c r="F20" s="3" t="s">
        <v>11</v>
      </c>
      <c r="G20" s="3" t="s">
        <v>12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ht="15.75" customHeight="1" x14ac:dyDescent="0.25">
      <c r="A21" s="4"/>
      <c r="B21" s="4" t="s">
        <v>19</v>
      </c>
      <c r="C21" s="5">
        <v>2941</v>
      </c>
      <c r="D21" s="4" t="s">
        <v>20</v>
      </c>
      <c r="E21" s="4">
        <v>1</v>
      </c>
      <c r="F21" s="4">
        <v>550</v>
      </c>
      <c r="G21" s="4">
        <f t="shared" ref="G21:G24" si="1">E21*F21</f>
        <v>550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ht="25" x14ac:dyDescent="0.25">
      <c r="A22" s="4"/>
      <c r="B22" s="4" t="s">
        <v>21</v>
      </c>
      <c r="C22" s="5">
        <v>2941</v>
      </c>
      <c r="D22" s="4" t="s">
        <v>20</v>
      </c>
      <c r="E22" s="4">
        <v>1</v>
      </c>
      <c r="F22" s="4">
        <v>550</v>
      </c>
      <c r="G22" s="4">
        <f t="shared" si="1"/>
        <v>550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ht="12.5" x14ac:dyDescent="0.25">
      <c r="A23" s="4"/>
      <c r="B23" s="4" t="s">
        <v>45</v>
      </c>
      <c r="C23" s="10" t="s">
        <v>46</v>
      </c>
      <c r="D23" s="4" t="s">
        <v>47</v>
      </c>
      <c r="E23" s="4">
        <v>1</v>
      </c>
      <c r="F23" s="4">
        <v>105</v>
      </c>
      <c r="G23" s="4">
        <v>105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ht="12.5" x14ac:dyDescent="0.25">
      <c r="A24" s="4"/>
      <c r="B24" s="4" t="s">
        <v>13</v>
      </c>
      <c r="C24" s="4" t="s">
        <v>14</v>
      </c>
      <c r="D24" s="4" t="s">
        <v>15</v>
      </c>
      <c r="E24" s="4">
        <v>1</v>
      </c>
      <c r="F24" s="4">
        <v>500</v>
      </c>
      <c r="G24" s="4">
        <f t="shared" si="1"/>
        <v>500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13" x14ac:dyDescent="0.3">
      <c r="A25" s="4"/>
      <c r="B25" s="4"/>
      <c r="C25" s="4"/>
      <c r="D25" s="4"/>
      <c r="E25" s="4"/>
      <c r="F25" s="2" t="s">
        <v>23</v>
      </c>
      <c r="G25" s="4">
        <f>SUM(G21:G24)</f>
        <v>1705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26" x14ac:dyDescent="0.3">
      <c r="A26" s="4"/>
      <c r="B26" s="4"/>
      <c r="C26" s="4"/>
      <c r="D26" s="4"/>
      <c r="E26" s="4"/>
      <c r="F26" s="2" t="s">
        <v>24</v>
      </c>
      <c r="G26" s="4">
        <v>0.25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13" x14ac:dyDescent="0.3">
      <c r="A27" s="4"/>
      <c r="B27" s="4"/>
      <c r="C27" s="4"/>
      <c r="D27" s="4"/>
      <c r="E27" s="4"/>
      <c r="F27" s="2" t="s">
        <v>25</v>
      </c>
      <c r="G27" s="4">
        <f>G25*(1+G26)</f>
        <v>2131.25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ht="13" x14ac:dyDescent="0.3">
      <c r="A28" s="2" t="s">
        <v>26</v>
      </c>
      <c r="B28" s="6" t="s">
        <v>33</v>
      </c>
      <c r="C28" s="4" t="s">
        <v>40</v>
      </c>
      <c r="D28" s="4" t="s">
        <v>41</v>
      </c>
      <c r="E28" s="4">
        <v>1</v>
      </c>
      <c r="F28" s="2">
        <v>5000</v>
      </c>
      <c r="G28" s="4">
        <f>F28*E28</f>
        <v>5000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26" x14ac:dyDescent="0.3">
      <c r="A29" s="4"/>
      <c r="B29" s="4"/>
      <c r="C29" s="4"/>
      <c r="D29" s="4"/>
      <c r="E29" s="4"/>
      <c r="F29" s="2" t="s">
        <v>31</v>
      </c>
      <c r="G29" s="4">
        <f>G28-G27</f>
        <v>2868.75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39" x14ac:dyDescent="0.3">
      <c r="A30" s="3" t="s">
        <v>34</v>
      </c>
      <c r="B30" s="3" t="s">
        <v>7</v>
      </c>
      <c r="C30" s="3" t="s">
        <v>8</v>
      </c>
      <c r="D30" s="3" t="s">
        <v>9</v>
      </c>
      <c r="E30" s="3" t="s">
        <v>35</v>
      </c>
      <c r="F30" s="3" t="s">
        <v>11</v>
      </c>
      <c r="G30" s="3" t="s">
        <v>12</v>
      </c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25" x14ac:dyDescent="0.25">
      <c r="A31" s="4" t="s">
        <v>36</v>
      </c>
      <c r="B31" s="4" t="s">
        <v>37</v>
      </c>
      <c r="C31" s="4" t="s">
        <v>28</v>
      </c>
      <c r="D31" s="4" t="s">
        <v>29</v>
      </c>
      <c r="E31" s="6" t="s">
        <v>30</v>
      </c>
      <c r="F31" s="4">
        <v>5000</v>
      </c>
      <c r="G31" s="4">
        <f>F31</f>
        <v>5000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12.5" x14ac:dyDescent="0.25">
      <c r="A32" s="7" t="s">
        <v>38</v>
      </c>
      <c r="B32" s="4"/>
      <c r="C32" s="4"/>
      <c r="D32" s="4"/>
      <c r="E32" s="4"/>
      <c r="F32" s="4"/>
      <c r="G32" s="4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12.5" x14ac:dyDescent="0.25">
      <c r="A33" s="8"/>
      <c r="B33" s="6" t="s">
        <v>33</v>
      </c>
      <c r="C33" s="4" t="s">
        <v>40</v>
      </c>
      <c r="D33" s="4" t="s">
        <v>41</v>
      </c>
      <c r="E33" s="6" t="s">
        <v>48</v>
      </c>
      <c r="F33" s="4"/>
      <c r="G33" s="4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13" x14ac:dyDescent="0.3">
      <c r="A34" s="8"/>
      <c r="E34" s="4">
        <v>1</v>
      </c>
      <c r="F34" s="2">
        <v>5000</v>
      </c>
      <c r="G34" s="4">
        <f>F34*E34</f>
        <v>5000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12.5" x14ac:dyDescent="0.25">
      <c r="A35" s="9"/>
      <c r="B35" s="4"/>
      <c r="C35" s="4"/>
      <c r="D35" s="4"/>
      <c r="E35" s="4"/>
      <c r="F35" s="4"/>
      <c r="G35" s="4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12.5" x14ac:dyDescent="0.25">
      <c r="A36" s="4"/>
      <c r="B36" s="4"/>
      <c r="C36" s="4"/>
      <c r="D36" s="4"/>
      <c r="E36" s="4"/>
      <c r="F36" s="4" t="s">
        <v>39</v>
      </c>
      <c r="G36" s="4">
        <f>G31-SUM(G32:G35)</f>
        <v>0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12.5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12.5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12.5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12.5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12.5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12.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12.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12.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12.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12.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12.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12.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2.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2.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2.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2.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2.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2.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2.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2.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2.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2.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2.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2.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2.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2.5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2.5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2.5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2.5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2.5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2.5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2.5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2.5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2.5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12.5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12.5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12.5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12.5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12.5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12.5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12.5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12.5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12.5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12.5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12.5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12.5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12.5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12.5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12.5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12.5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12.5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12.5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12.5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12.5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12.5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12.5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12.5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12.5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12.5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12.5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12.5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12.5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12.5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12.5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12.5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12.5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12.5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12.5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2.5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12.5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12.5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12.5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12.5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12.5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12.5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12.5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12.5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12.5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12.5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12.5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12.5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12.5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12.5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12.5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12.5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12.5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12.5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12.5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12.5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12.5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12.5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12.5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12.5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12.5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12.5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12.5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12.5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12.5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12.5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12.5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12.5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12.5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12.5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12.5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12.5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12.5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12.5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12.5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12.5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12.5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12.5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12.5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12.5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12.5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12.5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12.5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12.5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12.5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12.5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12.5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12.5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12.5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12.5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12.5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12.5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12.5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12.5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12.5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12.5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12.5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12.5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12.5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12.5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12.5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12.5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12.5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12.5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12.5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12.5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12.5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12.5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12.5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12.5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12.5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12.5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12.5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12.5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12.5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12.5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12.5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12.5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12.5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12.5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12.5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12.5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12.5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12.5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12.5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12.5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12.5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12.5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12.5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12.5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12.5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12.5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12.5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12.5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12.5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12.5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12.5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12.5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12.5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12.5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12.5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12.5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12.5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12.5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12.5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12.5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12.5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12.5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12.5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12.5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12.5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12.5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ht="12.5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ht="12.5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ht="12.5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ht="12.5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ht="12.5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ht="12.5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ht="12.5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ht="12.5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ht="12.5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ht="12.5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ht="12.5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ht="12.5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ht="12.5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ht="12.5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ht="12.5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ht="12.5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ht="12.5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ht="12.5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ht="12.5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ht="12.5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ht="12.5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ht="12.5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ht="12.5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ht="12.5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ht="12.5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ht="12.5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ht="12.5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ht="12.5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ht="12.5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ht="12.5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ht="12.5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ht="12.5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ht="12.5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ht="12.5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ht="12.5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ht="12.5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ht="12.5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ht="12.5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ht="12.5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ht="12.5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ht="12.5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ht="12.5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ht="12.5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ht="12.5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ht="12.5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ht="12.5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ht="12.5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ht="12.5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ht="12.5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ht="12.5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ht="12.5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ht="12.5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ht="12.5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ht="12.5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ht="12.5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ht="12.5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ht="12.5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ht="12.5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ht="12.5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ht="12.5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ht="12.5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ht="12.5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ht="12.5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ht="12.5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ht="12.5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ht="12.5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ht="12.5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ht="12.5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ht="12.5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ht="12.5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ht="12.5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ht="12.5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ht="12.5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ht="12.5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ht="12.5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ht="12.5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ht="12.5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ht="12.5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ht="12.5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ht="12.5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ht="12.5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ht="12.5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ht="12.5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ht="12.5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ht="12.5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ht="12.5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ht="12.5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ht="12.5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ht="12.5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ht="12.5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ht="12.5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ht="12.5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ht="12.5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ht="12.5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ht="12.5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ht="12.5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ht="12.5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ht="12.5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ht="12.5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ht="12.5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ht="12.5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ht="12.5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ht="12.5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ht="12.5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ht="12.5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ht="12.5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ht="12.5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ht="12.5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ht="12.5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ht="12.5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ht="12.5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ht="12.5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ht="12.5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ht="12.5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ht="12.5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ht="12.5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ht="12.5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ht="12.5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ht="12.5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ht="12.5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ht="12.5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ht="12.5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ht="12.5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ht="12.5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ht="12.5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ht="12.5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ht="12.5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ht="12.5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ht="12.5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ht="12.5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ht="12.5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ht="12.5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ht="12.5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ht="12.5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ht="12.5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ht="12.5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ht="12.5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ht="12.5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ht="12.5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ht="12.5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ht="12.5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ht="12.5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ht="12.5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ht="12.5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ht="12.5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ht="12.5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ht="12.5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ht="12.5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ht="12.5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ht="12.5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ht="12.5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ht="12.5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ht="12.5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ht="12.5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ht="12.5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ht="12.5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ht="12.5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ht="12.5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ht="12.5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ht="12.5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ht="12.5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ht="12.5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ht="12.5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ht="12.5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ht="12.5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ht="12.5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ht="12.5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ht="12.5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ht="12.5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ht="12.5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ht="12.5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ht="12.5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ht="12.5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ht="12.5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ht="12.5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ht="12.5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ht="12.5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ht="12.5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ht="12.5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ht="12.5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ht="12.5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ht="12.5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ht="12.5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ht="12.5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ht="12.5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ht="12.5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ht="12.5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ht="12.5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ht="12.5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ht="12.5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ht="12.5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ht="12.5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ht="12.5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ht="12.5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ht="12.5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ht="12.5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ht="12.5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ht="12.5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ht="12.5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ht="12.5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ht="12.5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ht="12.5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ht="12.5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ht="12.5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ht="12.5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ht="12.5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ht="12.5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ht="12.5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ht="12.5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ht="12.5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ht="12.5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ht="12.5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ht="12.5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ht="12.5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ht="12.5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ht="12.5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ht="12.5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ht="12.5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ht="12.5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ht="12.5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ht="12.5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ht="12.5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ht="12.5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ht="12.5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ht="12.5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ht="12.5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ht="12.5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ht="12.5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ht="12.5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ht="12.5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ht="12.5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ht="12.5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ht="12.5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ht="12.5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ht="12.5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ht="12.5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ht="12.5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ht="12.5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ht="12.5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ht="12.5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ht="12.5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ht="12.5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ht="12.5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ht="12.5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ht="12.5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ht="12.5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ht="12.5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ht="12.5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ht="12.5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ht="12.5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ht="12.5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ht="12.5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ht="12.5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ht="12.5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ht="12.5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ht="12.5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ht="12.5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ht="12.5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ht="12.5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ht="12.5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ht="12.5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ht="12.5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ht="12.5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ht="12.5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ht="12.5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ht="12.5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ht="12.5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ht="12.5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ht="12.5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ht="12.5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ht="12.5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ht="12.5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ht="12.5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ht="12.5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ht="12.5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ht="12.5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ht="12.5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ht="12.5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ht="12.5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ht="12.5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ht="12.5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ht="12.5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ht="12.5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ht="12.5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ht="12.5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ht="12.5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ht="12.5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ht="12.5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ht="12.5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ht="12.5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ht="12.5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ht="12.5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ht="12.5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ht="12.5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ht="12.5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ht="12.5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ht="12.5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ht="12.5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ht="12.5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ht="12.5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ht="12.5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ht="12.5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ht="12.5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ht="12.5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ht="12.5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ht="12.5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ht="12.5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ht="12.5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ht="12.5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ht="12.5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ht="12.5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ht="12.5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ht="12.5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ht="12.5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ht="12.5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ht="12.5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ht="12.5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ht="12.5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ht="12.5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ht="12.5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ht="12.5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ht="12.5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ht="12.5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ht="12.5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ht="12.5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ht="12.5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ht="12.5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ht="12.5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ht="12.5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ht="12.5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ht="12.5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ht="12.5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ht="12.5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ht="12.5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ht="12.5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ht="12.5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ht="12.5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ht="12.5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ht="12.5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ht="12.5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ht="12.5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ht="12.5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ht="12.5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ht="12.5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ht="12.5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ht="12.5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ht="12.5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ht="12.5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ht="12.5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ht="12.5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ht="12.5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ht="12.5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ht="12.5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ht="12.5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ht="12.5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ht="12.5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ht="12.5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ht="12.5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ht="12.5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ht="12.5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ht="12.5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ht="12.5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ht="12.5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ht="12.5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ht="12.5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ht="12.5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ht="12.5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ht="12.5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ht="12.5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ht="12.5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ht="12.5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ht="12.5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ht="12.5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ht="12.5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ht="12.5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ht="12.5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ht="12.5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ht="12.5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ht="12.5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ht="12.5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ht="12.5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ht="12.5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ht="12.5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ht="12.5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ht="12.5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ht="12.5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ht="12.5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ht="12.5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ht="12.5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ht="12.5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ht="12.5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ht="12.5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ht="12.5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ht="12.5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ht="12.5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ht="12.5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ht="12.5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ht="12.5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ht="12.5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ht="12.5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ht="12.5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ht="12.5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ht="12.5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ht="12.5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ht="12.5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ht="12.5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ht="12.5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ht="12.5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ht="12.5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ht="12.5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ht="12.5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ht="12.5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ht="12.5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ht="12.5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ht="12.5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ht="12.5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ht="12.5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ht="12.5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ht="12.5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ht="12.5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ht="12.5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ht="12.5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ht="12.5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ht="12.5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ht="12.5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ht="12.5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ht="12.5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ht="12.5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ht="12.5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ht="12.5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ht="12.5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ht="12.5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ht="12.5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ht="12.5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ht="12.5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ht="12.5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ht="12.5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ht="12.5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ht="12.5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ht="12.5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ht="12.5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ht="12.5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ht="12.5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ht="12.5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ht="12.5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ht="12.5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ht="12.5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ht="12.5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ht="12.5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ht="12.5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ht="12.5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ht="12.5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ht="12.5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ht="12.5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ht="12.5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ht="12.5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ht="12.5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ht="12.5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ht="12.5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ht="12.5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ht="12.5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ht="12.5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ht="12.5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ht="12.5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ht="12.5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ht="12.5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ht="12.5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ht="12.5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ht="12.5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ht="12.5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ht="12.5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ht="12.5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ht="12.5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ht="12.5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ht="12.5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ht="12.5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ht="12.5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ht="12.5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ht="12.5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ht="12.5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ht="12.5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ht="12.5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ht="12.5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ht="12.5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ht="12.5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ht="12.5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 ht="12.5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 ht="12.5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 ht="12.5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 ht="12.5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 ht="12.5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 ht="12.5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 ht="12.5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 ht="12.5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 ht="12.5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 ht="12.5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 ht="12.5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 ht="12.5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 ht="12.5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 ht="12.5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 ht="12.5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 ht="12.5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 ht="12.5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 ht="12.5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 ht="12.5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 ht="12.5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 ht="12.5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 ht="12.5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 ht="12.5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 ht="12.5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:25" ht="12.5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:25" ht="12.5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:25" ht="12.5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 ht="12.5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:25" ht="12.5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:25" ht="12.5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 ht="12.5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 ht="12.5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1:25" ht="12.5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1:25" ht="12.5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1:25" ht="12.5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1:25" ht="12.5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1:25" ht="12.5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1:25" ht="12.5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1:25" ht="12.5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1:25" ht="12.5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1:25" ht="12.5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1:25" ht="12.5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1:25" ht="12.5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1:25" ht="12.5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1:25" ht="12.5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1:25" ht="12.5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1:25" ht="12.5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1:25" ht="12.5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1:25" ht="12.5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1:25" ht="12.5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1:25" ht="12.5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1:25" ht="12.5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1:25" ht="12.5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1:25" ht="12.5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5" ht="12.5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1:25" ht="12.5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1:25" ht="12.5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1:25" ht="12.5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1:25" ht="12.5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1:25" ht="12.5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1:25" ht="12.5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1:25" ht="12.5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:25" ht="12.5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1:25" ht="12.5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1:25" ht="12.5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1:25" ht="12.5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1:25" ht="12.5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1:25" ht="12.5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1:25" ht="12.5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1:25" ht="12.5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1:25" ht="12.5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1:25" ht="12.5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1:25" ht="12.5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1:25" ht="12.5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1:25" ht="12.5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1:25" ht="12.5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1:25" ht="12.5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1:25" ht="12.5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1:25" ht="12.5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1:25" ht="12.5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1:25" ht="12.5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1:25" ht="12.5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1:25" ht="12.5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1:25" ht="12.5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1:25" ht="12.5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1:25" ht="12.5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1:25" ht="12.5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1:25" ht="12.5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1:25" ht="12.5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1:25" ht="12.5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1:25" ht="12.5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1:25" ht="12.5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5" ht="12.5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1:25" ht="12.5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1:25" ht="12.5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1:25" ht="12.5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1:25" ht="12.5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1:25" ht="12.5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1:25" ht="12.5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1:25" ht="12.5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1:25" ht="12.5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1:25" ht="12.5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1:25" ht="12.5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1:25" ht="12.5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1:25" ht="12.5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1:25" ht="12.5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1:25" ht="12.5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1:25" ht="12.5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1:25" ht="12.5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1:25" ht="12.5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1:25" ht="12.5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1:25" ht="12.5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1:25" ht="12.5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1:25" ht="12.5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1:25" ht="12.5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1:25" ht="12.5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1:25" ht="12.5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1:25" ht="12.5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1:25" ht="12.5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1:25" ht="12.5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1:25" ht="12.5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1:25" ht="12.5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1:25" ht="12.5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1:25" ht="12.5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1:25" ht="12.5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1:25" ht="12.5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1:25" ht="12.5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1:25" ht="12.5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1:25" ht="12.5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1:25" ht="12.5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1:25" ht="12.5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1:25" ht="12.5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1:25" ht="12.5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1:25" ht="12.5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1:25" ht="12.5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1:25" ht="12.5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1:25" ht="12.5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1:25" ht="12.5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1:25" ht="12.5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1:25" ht="12.5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1:25" ht="12.5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1:25" ht="12.5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1:25" ht="12.5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1:25" ht="12.5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1:25" ht="12.5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1:25" ht="12.5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1:25" ht="12.5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1:25" ht="12.5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1:25" ht="12.5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1:25" ht="12.5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1:25" ht="12.5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1:25" ht="12.5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1:25" ht="12.5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1:25" ht="12.5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1:25" ht="12.5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1:25" ht="12.5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1:25" ht="12.5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1:25" ht="12.5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1:25" ht="12.5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1:25" ht="12.5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1:25" ht="12.5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1:25" ht="12.5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1:25" ht="12.5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1:25" ht="12.5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1:25" ht="12.5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1:25" ht="12.5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1:25" ht="12.5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1:25" ht="12.5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5" ht="12.5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1:25" ht="12.5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1:25" ht="12.5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1:25" ht="12.5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1:25" ht="12.5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1:25" ht="12.5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1:25" ht="12.5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1:25" ht="12.5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1:25" ht="12.5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1:25" ht="12.5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1:25" ht="12.5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1:25" ht="12.5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1:25" ht="12.5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1:25" ht="12.5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1:25" ht="12.5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1:25" ht="12.5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1:25" ht="12.5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1:25" ht="12.5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1:25" ht="12.5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1:25" ht="12.5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1:25" ht="12.5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1:25" ht="12.5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1:25" ht="12.5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1:25" ht="12.5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1:25" ht="12.5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1:25" ht="12.5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1:25" ht="12.5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1:25" ht="12.5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1:25" ht="12.5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1:25" ht="12.5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ht="12.5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ht="12.5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ht="12.5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ht="12.5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ht="12.5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ht="12.5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ht="12.5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ht="12.5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ht="12.5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spans="1:25" ht="12.5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1:25" ht="12.5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spans="1:25" ht="12.5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spans="1:25" ht="12.5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spans="1:25" ht="12.5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spans="1:25" ht="12.5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spans="1:25" ht="12.5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spans="1:25" ht="12.5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spans="1:25" ht="12.5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spans="1:25" ht="12.5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spans="1:25" ht="12.5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spans="1:25" ht="12.5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spans="1:25" ht="12.5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spans="1:25" ht="12.5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spans="1:25" ht="12.5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spans="1:25" ht="12.5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spans="1:25" ht="12.5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spans="1:25" ht="12.5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1:25" ht="12.5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1:25" ht="12.5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spans="1:25" ht="12.5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spans="1:25" ht="12.5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spans="1:25" ht="12.5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spans="1:25" ht="12.5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spans="1:25" ht="12.5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spans="1:25" ht="12.5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spans="1:25" ht="12.5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spans="1:25" ht="12.5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spans="1:25" ht="12.5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spans="1:25" ht="12.5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spans="1:25" ht="12.5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spans="1:25" ht="12.5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spans="1:25" ht="12.5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spans="1:25" ht="12.5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spans="1:25" ht="12.5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spans="1:25" ht="12.5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spans="1:25" ht="12.5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spans="1:25" ht="12.5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spans="1:25" ht="12.5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spans="1:25" ht="12.5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spans="1:25" ht="12.5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spans="1:25" ht="12.5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spans="1:25" ht="12.5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spans="1:25" ht="12.5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spans="1:25" ht="12.5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spans="1:25" ht="12.5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spans="1:25" ht="12.5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spans="1:25" ht="12.5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spans="1:25" ht="12.5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spans="1:25" ht="12.5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spans="1:25" ht="12.5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spans="1:25" ht="12.5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spans="1:25" ht="12.5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spans="1:25" ht="12.5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spans="1:25" ht="12.5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spans="1:25" ht="12.5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spans="1:25" ht="12.5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spans="1:25" ht="12.5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spans="1:25" ht="12.5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spans="1:25" ht="12.5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spans="1:25" ht="12.5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spans="1:25" ht="12.5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spans="1:25" ht="12.5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</sheetData>
  <mergeCells count="1">
    <mergeCell ref="A32:A35"/>
  </mergeCells>
  <printOptions horizontalCentered="1" gridLines="1"/>
  <pageMargins left="0.7" right="0.7" top="0.75" bottom="0.75" header="0" footer="0"/>
  <pageSetup fitToHeight="0" pageOrder="overThenDown" orientation="portrait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Austin Gonzalez (Student)</cp:lastModifiedBy>
  <dcterms:modified xsi:type="dcterms:W3CDTF">2025-12-05T22:46:04Z</dcterms:modified>
</cp:coreProperties>
</file>